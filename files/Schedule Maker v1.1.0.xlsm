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egSq1\Downloads\"/>
    </mc:Choice>
  </mc:AlternateContent>
  <xr:revisionPtr revIDLastSave="0" documentId="13_ncr:1_{68890C68-483D-4D5F-8F75-353202BD5F35}" xr6:coauthVersionLast="47" xr6:coauthVersionMax="47" xr10:uidLastSave="{00000000-0000-0000-0000-000000000000}"/>
  <bookViews>
    <workbookView xWindow="-120" yWindow="-120" windowWidth="29040" windowHeight="15840" xr2:uid="{724DA540-CB94-4F28-ABD0-54A1EFCB1760}"/>
  </bookViews>
  <sheets>
    <sheet name="Schedule" sheetId="24" r:id="rId1"/>
    <sheet name="Stores" sheetId="2" state="hidden" r:id="rId2"/>
    <sheet name="Employees" sheetId="3" state="hidden" r:id="rId3"/>
    <sheet name="WeekdayDefaults" sheetId="4" state="hidden" r:id="rId4"/>
    <sheet name="EmployeeDefaults" sheetId="5" state="hidden" r:id="rId5"/>
    <sheet name="Hours Export" sheetId="25" r:id="rId6"/>
    <sheet name="Settings" sheetId="6" state="hidden" r:id="rId7"/>
  </sheets>
  <functionGroups builtInGroupCount="19"/>
  <definedNames>
    <definedName name="_xlnm._FilterDatabase" localSheetId="0" hidden="1">Schedule!$B$1:$B$7</definedName>
    <definedName name="_xleta.MIN" hidden="1" xlm="1">#NAME?</definedName>
    <definedName name="_xleta.YEAR" hidden="1" xlm="1">#NAME?</definedName>
    <definedName name="StoreList">_xlfn._xlws.FILTER(Stores!XEE2:XEE999, Stores!XEE2:XEE999&lt;&gt;"","")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4" l="1"/>
  <c r="E8" i="24"/>
  <c r="F8" i="24"/>
  <c r="G8" i="24"/>
  <c r="H8" i="24"/>
  <c r="I8" i="24"/>
  <c r="C8" i="24"/>
  <c r="I9" i="24" l="1"/>
  <c r="H9" i="24"/>
  <c r="G9" i="24"/>
  <c r="F9" i="24"/>
  <c r="E9" i="24"/>
  <c r="D9" i="24"/>
  <c r="C9" i="24"/>
  <c r="A2" i="24"/>
  <c r="G2" i="25" a="1"/>
  <c r="F2" i="25" a="1"/>
  <c r="E2" i="25" a="1"/>
  <c r="B2" i="25" a="1"/>
  <c r="A2" i="25" a="1"/>
  <c r="G2" i="24"/>
  <c r="A1" i="25" s="1"/>
  <c r="B2" i="25" l="1"/>
  <c r="A2" i="25"/>
  <c r="C2" i="25" a="1"/>
  <c r="G2" i="25"/>
  <c r="F2" i="25"/>
  <c r="E2" i="25"/>
  <c r="G9" i="4"/>
  <c r="D10" i="4"/>
  <c r="E10" i="4"/>
  <c r="F10" i="4"/>
  <c r="G10" i="4"/>
  <c r="B10" i="4"/>
  <c r="D9" i="4"/>
  <c r="E9" i="4"/>
  <c r="F9" i="4"/>
  <c r="B9" i="4"/>
  <c r="C2" i="2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<sst xmlns="http://schemas.openxmlformats.org/spreadsheetml/2006/main" count="165" uniqueCount="131">
  <si>
    <t>Monday</t>
  </si>
  <si>
    <t>Tuesday</t>
  </si>
  <si>
    <t>Wednesday</t>
  </si>
  <si>
    <t>Thursday</t>
  </si>
  <si>
    <t>Friday</t>
  </si>
  <si>
    <t>Saturday</t>
  </si>
  <si>
    <t>Sunday</t>
  </si>
  <si>
    <t>D. Mgr.</t>
  </si>
  <si>
    <t>Name</t>
  </si>
  <si>
    <t>Date</t>
  </si>
  <si>
    <t>Store</t>
  </si>
  <si>
    <t>Current Hours</t>
  </si>
  <si>
    <t>Employee</t>
  </si>
  <si>
    <t>Permitted Hours</t>
  </si>
  <si>
    <t>Salary</t>
  </si>
  <si>
    <t>Total Hours</t>
  </si>
  <si>
    <t>Monday Hours</t>
  </si>
  <si>
    <t>Tuesday Hours</t>
  </si>
  <si>
    <t>Wednesday Hours</t>
  </si>
  <si>
    <t>Thursday Hours</t>
  </si>
  <si>
    <t>Friday Hours</t>
  </si>
  <si>
    <t>Saturday Hours</t>
  </si>
  <si>
    <t>Sunday Hours</t>
  </si>
  <si>
    <t>Open</t>
  </si>
  <si>
    <t>Covered</t>
  </si>
  <si>
    <t>Overtime?</t>
  </si>
  <si>
    <t>Overstaffed</t>
  </si>
  <si>
    <t>Title</t>
  </si>
  <si>
    <t>Off</t>
  </si>
  <si>
    <t>PTO</t>
  </si>
  <si>
    <t>Clock Out Time 1</t>
  </si>
  <si>
    <t>Clock In Time 1</t>
  </si>
  <si>
    <t>Break</t>
  </si>
  <si>
    <t>Note</t>
  </si>
  <si>
    <t>Second Location</t>
  </si>
  <si>
    <t>Clock In Time 2</t>
  </si>
  <si>
    <t>Clock Out Time 2</t>
  </si>
  <si>
    <t>Lone Trade</t>
  </si>
  <si>
    <t>MoOff</t>
  </si>
  <si>
    <t>MoPTO</t>
  </si>
  <si>
    <t>MoLocationNameBox1</t>
  </si>
  <si>
    <t>MoClockInTimeBox1</t>
  </si>
  <si>
    <t>MoClockOutTimeBox1</t>
  </si>
  <si>
    <t>MoBreak</t>
  </si>
  <si>
    <t>MoNote</t>
  </si>
  <si>
    <t>MoSecondLocation</t>
  </si>
  <si>
    <t>MoLocationNameBox2</t>
  </si>
  <si>
    <t>MoClockInTimeBox2</t>
  </si>
  <si>
    <t>MoClockOutTimeBox2</t>
  </si>
  <si>
    <t>TuOff</t>
  </si>
  <si>
    <t>TuPTO</t>
  </si>
  <si>
    <t>TuLocationNameBox1</t>
  </si>
  <si>
    <t>TuClockInTimeBox1</t>
  </si>
  <si>
    <t>TuClockOutTimeBox1</t>
  </si>
  <si>
    <t>TuBreak</t>
  </si>
  <si>
    <t>TuNote</t>
  </si>
  <si>
    <t>TuSecondLocation</t>
  </si>
  <si>
    <t>TuLocationNameBox2</t>
  </si>
  <si>
    <t>TuClockInTimeBox2</t>
  </si>
  <si>
    <t>TuClockOutTimeBox2</t>
  </si>
  <si>
    <t>WeOff</t>
  </si>
  <si>
    <t>WePTO</t>
  </si>
  <si>
    <t>WeLocationNameBox1</t>
  </si>
  <si>
    <t>WeClockInTimeBox1</t>
  </si>
  <si>
    <t>WeClockOutTimeBox1</t>
  </si>
  <si>
    <t>WeBreak</t>
  </si>
  <si>
    <t>WeNote</t>
  </si>
  <si>
    <t>WeSecondLocation</t>
  </si>
  <si>
    <t>WeLocationNameBox2</t>
  </si>
  <si>
    <t>WeClockInTimeBox2</t>
  </si>
  <si>
    <t>WeClockOutTimeBox2</t>
  </si>
  <si>
    <t>ThOff</t>
  </si>
  <si>
    <t>ThPTO</t>
  </si>
  <si>
    <t>ThLocationNameBox1</t>
  </si>
  <si>
    <t>ThClockInTimeBox1</t>
  </si>
  <si>
    <t>ThClockOutTimeBox1</t>
  </si>
  <si>
    <t>ThBreak</t>
  </si>
  <si>
    <t>ThNote</t>
  </si>
  <si>
    <t>ThSecondLocation</t>
  </si>
  <si>
    <t>ThLocationNameBox2</t>
  </si>
  <si>
    <t>ThClockInTimeBox2</t>
  </si>
  <si>
    <t>ThClockOutTimeBox2</t>
  </si>
  <si>
    <t>FrOff</t>
  </si>
  <si>
    <t>FrPTO</t>
  </si>
  <si>
    <t>FrLocationNameBox1</t>
  </si>
  <si>
    <t>FrClockInTimeBox1</t>
  </si>
  <si>
    <t>FrClockOutTimeBox1</t>
  </si>
  <si>
    <t>FrBreak</t>
  </si>
  <si>
    <t>FrNote</t>
  </si>
  <si>
    <t>FrSecondLocation</t>
  </si>
  <si>
    <t>FrLocationNameBox2</t>
  </si>
  <si>
    <t>FrClockInTimeBox2</t>
  </si>
  <si>
    <t>FrClockOutTimeBox2</t>
  </si>
  <si>
    <t>SaOff</t>
  </si>
  <si>
    <t>SaPTO</t>
  </si>
  <si>
    <t>SaLocationNameBox1</t>
  </si>
  <si>
    <t>SaClockInTimeBox1</t>
  </si>
  <si>
    <t>SaClockOutTimeBox1</t>
  </si>
  <si>
    <t>SaBreak</t>
  </si>
  <si>
    <t>SaNote</t>
  </si>
  <si>
    <t>SaSecondLocation</t>
  </si>
  <si>
    <t>SaLocationNameBox2</t>
  </si>
  <si>
    <t>SaClockInTimeBox2</t>
  </si>
  <si>
    <t>SaClockOutTimeBox2</t>
  </si>
  <si>
    <t>SuOff</t>
  </si>
  <si>
    <t>SuPTO</t>
  </si>
  <si>
    <t>SuLocationNameBox1</t>
  </si>
  <si>
    <t>SuClockInTimeBox1</t>
  </si>
  <si>
    <t>SuClockOutTimeBox1</t>
  </si>
  <si>
    <t>SuBreak</t>
  </si>
  <si>
    <t>SuNote</t>
  </si>
  <si>
    <t>SuSecondLocation</t>
  </si>
  <si>
    <t>SuLocationNameBox2</t>
  </si>
  <si>
    <t>SuClockInTimeBox2</t>
  </si>
  <si>
    <t>SuClockOutTimeBox2</t>
  </si>
  <si>
    <t>Autosave</t>
  </si>
  <si>
    <t>Autopop</t>
  </si>
  <si>
    <t>Autopop Val</t>
  </si>
  <si>
    <t>INSERT</t>
  </si>
  <si>
    <t>Color</t>
  </si>
  <si>
    <t>On</t>
  </si>
  <si>
    <t>Flex Schedule</t>
  </si>
  <si>
    <t>Current Schedule</t>
  </si>
  <si>
    <t>District</t>
  </si>
  <si>
    <t>Version</t>
  </si>
  <si>
    <t>Warnings</t>
  </si>
  <si>
    <t>Warning</t>
  </si>
  <si>
    <t>DM</t>
  </si>
  <si>
    <t>Test-Employee</t>
  </si>
  <si>
    <t>Daily Scheduled Hours</t>
  </si>
  <si>
    <t>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</si>
</sst>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.dd\.yy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i/>
      <sz val="11"/>
      <color rgb="FF000000"/>
      <name val="Aptos Narrow"/>
      <family val="2"/>
      <scheme val="minor"/>
    </font>
    <font>
      <i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u/>
      <sz val="2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CC2E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18" fontId="0" fillId="0" borderId="1" xfId="0" applyNumberFormat="1" applyBorder="1" applyAlignment="1">
      <alignment horizontal="center" vertical="center"/>
    </xf>
    <xf numFmtId="0" fontId="1" fillId="2" borderId="1" xfId="0" applyFont="1" applyFill="1" applyBorder="1"/>
    <xf numFmtId="0" fontId="1" fillId="0" borderId="0" xfId="0" applyFont="1" applyAlignment="1">
      <alignment horizontal="center" vertical="center"/>
    </xf>
    <xf numFmtId="0" fontId="1" fillId="0" borderId="1" xfId="0" applyFont="1" applyBorder="1"/>
    <xf numFmtId="0" fontId="1" fillId="0" borderId="0" xfId="0" applyFont="1"/>
    <xf numFmtId="14" fontId="0" fillId="0" borderId="1" xfId="0" applyNumberFormat="1" applyBorder="1"/>
    <xf numFmtId="0" fontId="0" fillId="0" borderId="0" xfId="0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164" fontId="6" fillId="4" borderId="3" xfId="0" applyNumberFormat="1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textRotation="90"/>
    </xf>
    <xf numFmtId="0" fontId="4" fillId="6" borderId="1" xfId="0" applyFont="1" applyFill="1" applyBorder="1" applyAlignment="1">
      <alignment horizontal="center" vertical="center" textRotation="90"/>
    </xf>
    <xf numFmtId="0" fontId="10" fillId="6" borderId="1" xfId="0" applyFont="1" applyFill="1" applyBorder="1" applyAlignment="1">
      <alignment horizontal="center" vertical="center" wrapText="1"/>
    </xf>
    <xf numFmtId="164" fontId="6" fillId="4" borderId="6" xfId="0" applyNumberFormat="1" applyFont="1" applyFill="1" applyBorder="1" applyAlignment="1">
      <alignment horizontal="center" wrapText="1"/>
    </xf>
    <xf numFmtId="164" fontId="6" fillId="4" borderId="7" xfId="0" applyNumberFormat="1" applyFont="1" applyFill="1" applyBorder="1" applyAlignment="1">
      <alignment horizontal="center" wrapText="1"/>
    </xf>
    <xf numFmtId="0" fontId="9" fillId="4" borderId="6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5" fillId="4" borderId="1" xfId="0" applyFont="1" applyFill="1" applyBorder="1" applyAlignment="1">
      <alignment horizontal="center" vertical="center" textRotation="90"/>
    </xf>
    <xf numFmtId="0" fontId="6" fillId="4" borderId="1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right" vertical="center"/>
    </xf>
    <xf numFmtId="0" fontId="3" fillId="0" borderId="4" xfId="0" applyFont="1" applyBorder="1" applyAlignment="1">
      <alignment horizontal="left" vertical="center"/>
    </xf>
    <xf numFmtId="0" fontId="6" fillId="4" borderId="5" xfId="0" applyFont="1" applyFill="1" applyBorder="1" applyAlignment="1">
      <alignment horizontal="right" vertical="center"/>
    </xf>
    <xf numFmtId="0" fontId="1" fillId="0" borderId="6" xfId="0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/>
      </font>
      <fill>
        <patternFill>
          <bgColor theme="9" tint="0.7999816888943144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FF0000"/>
      </font>
      <fill>
        <patternFill>
          <bgColor rgb="FFFF9999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fill>
        <patternFill>
          <bgColor rgb="FFFF9999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00B050"/>
      </font>
      <fill>
        <patternFill>
          <bgColor theme="9" tint="0.79998168889431442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none">
          <bgColor auto="1"/>
        </patternFill>
      </fill>
    </dxf>
    <dxf>
      <font>
        <color theme="9"/>
      </font>
      <fill>
        <patternFill>
          <bgColor theme="9" tint="0.7999816888943144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FF0000"/>
      </font>
      <fill>
        <patternFill>
          <bgColor rgb="FFFF9999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9999"/>
      <color rgb="FFFF4784"/>
      <color rgb="FFFF6699"/>
      <color rgb="FFFF66CC"/>
      <color rgb="FFFF0066"/>
      <color rgb="FFFFCCCC"/>
      <color rgb="FF66FF33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155448</xdr:colOff>
      <xdr:row>1</xdr:row>
      <xdr:rowOff>2240</xdr:rowOff>
    </xdr:to>
    <xdr:sp macro="[0]!backgroundClick" textlink="">
      <xdr:nvSpPr>
        <xdr:cNvPr id="2" name="Background">
          <a:extLst>
            <a:ext uri="{FF2B5EF4-FFF2-40B4-BE49-F238E27FC236}">
              <a16:creationId xmlns:a16="http://schemas.microsoft.com/office/drawing/2014/main" id="{03BCB4D2-C98F-4679-91DA-C3738781A38C}"/>
            </a:ext>
          </a:extLst>
        </xdr:cNvPr>
        <xdr:cNvSpPr/>
      </xdr:nvSpPr>
      <xdr:spPr>
        <a:xfrm>
          <a:off x="0" y="0"/>
          <a:ext cx="4727448" cy="45944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391680</xdr:colOff>
      <xdr:row>0</xdr:row>
      <xdr:rowOff>85164</xdr:rowOff>
    </xdr:from>
    <xdr:to>
      <xdr:col>3</xdr:col>
      <xdr:colOff>391680</xdr:colOff>
      <xdr:row>0</xdr:row>
      <xdr:rowOff>376516</xdr:rowOff>
    </xdr:to>
    <xdr:sp macro="[0]!openEditSchedule" textlink="">
      <xdr:nvSpPr>
        <xdr:cNvPr id="3" name="EditSchedule">
          <a:extLst>
            <a:ext uri="{FF2B5EF4-FFF2-40B4-BE49-F238E27FC236}">
              <a16:creationId xmlns:a16="http://schemas.microsoft.com/office/drawing/2014/main" id="{00AF28C6-E43E-43F0-8422-429D42B6D617}"/>
            </a:ext>
          </a:extLst>
        </xdr:cNvPr>
        <xdr:cNvSpPr/>
      </xdr:nvSpPr>
      <xdr:spPr>
        <a:xfrm>
          <a:off x="1715655" y="85164"/>
          <a:ext cx="1038225" cy="291352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Edit Schedule</a:t>
          </a:r>
        </a:p>
      </xdr:txBody>
    </xdr:sp>
    <xdr:clientData fPrintsWithSheet="0"/>
  </xdr:twoCellAnchor>
  <xdr:twoCellAnchor editAs="absolute">
    <xdr:from>
      <xdr:col>3</xdr:col>
      <xdr:colOff>491710</xdr:colOff>
      <xdr:row>0</xdr:row>
      <xdr:rowOff>85164</xdr:rowOff>
    </xdr:from>
    <xdr:to>
      <xdr:col>4</xdr:col>
      <xdr:colOff>664282</xdr:colOff>
      <xdr:row>0</xdr:row>
      <xdr:rowOff>376516</xdr:rowOff>
    </xdr:to>
    <xdr:sp macro="[0]!openEditing" textlink="">
      <xdr:nvSpPr>
        <xdr:cNvPr id="4" name="AdditionalOptions">
          <a:extLst>
            <a:ext uri="{FF2B5EF4-FFF2-40B4-BE49-F238E27FC236}">
              <a16:creationId xmlns:a16="http://schemas.microsoft.com/office/drawing/2014/main" id="{F7C95317-F205-4C89-B647-20D99AAC87EB}"/>
            </a:ext>
          </a:extLst>
        </xdr:cNvPr>
        <xdr:cNvSpPr/>
      </xdr:nvSpPr>
      <xdr:spPr>
        <a:xfrm>
          <a:off x="2853910" y="85164"/>
          <a:ext cx="1334622" cy="291352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Additional Options</a:t>
          </a:r>
        </a:p>
      </xdr:txBody>
    </xdr:sp>
    <xdr:clientData fPrintsWithSheet="0"/>
  </xdr:twoCellAnchor>
  <xdr:twoCellAnchor editAs="absolute">
    <xdr:from>
      <xdr:col>4</xdr:col>
      <xdr:colOff>764312</xdr:colOff>
      <xdr:row>0</xdr:row>
      <xdr:rowOff>85164</xdr:rowOff>
    </xdr:from>
    <xdr:to>
      <xdr:col>5</xdr:col>
      <xdr:colOff>3567</xdr:colOff>
      <xdr:row>0</xdr:row>
      <xdr:rowOff>376516</xdr:rowOff>
    </xdr:to>
    <xdr:sp macro="[0]!highlightButton" textlink="">
      <xdr:nvSpPr>
        <xdr:cNvPr id="5" name="Highlighter">
          <a:extLst>
            <a:ext uri="{FF2B5EF4-FFF2-40B4-BE49-F238E27FC236}">
              <a16:creationId xmlns:a16="http://schemas.microsoft.com/office/drawing/2014/main" id="{B4F15AA7-02ED-4BBE-A397-D41859DF06CC}"/>
            </a:ext>
          </a:extLst>
        </xdr:cNvPr>
        <xdr:cNvSpPr/>
      </xdr:nvSpPr>
      <xdr:spPr>
        <a:xfrm>
          <a:off x="4288562" y="85164"/>
          <a:ext cx="287005" cy="291352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🖍</a:t>
          </a:r>
        </a:p>
      </xdr:txBody>
    </xdr:sp>
    <xdr:clientData fPrintsWithSheet="0"/>
  </xdr:twoCellAnchor>
  <xdr:twoCellAnchor editAs="absolute">
    <xdr:from>
      <xdr:col>0</xdr:col>
      <xdr:colOff>154628</xdr:colOff>
      <xdr:row>0</xdr:row>
      <xdr:rowOff>85164</xdr:rowOff>
    </xdr:from>
    <xdr:to>
      <xdr:col>1</xdr:col>
      <xdr:colOff>167089</xdr:colOff>
      <xdr:row>0</xdr:row>
      <xdr:rowOff>376516</xdr:rowOff>
    </xdr:to>
    <xdr:sp macro="[0]!condensedClicked" textlink="">
      <xdr:nvSpPr>
        <xdr:cNvPr id="6" name="Condense">
          <a:extLst>
            <a:ext uri="{FF2B5EF4-FFF2-40B4-BE49-F238E27FC236}">
              <a16:creationId xmlns:a16="http://schemas.microsoft.com/office/drawing/2014/main" id="{D2074043-F2A6-4673-AA73-F29751AA2D78}"/>
            </a:ext>
          </a:extLst>
        </xdr:cNvPr>
        <xdr:cNvSpPr/>
      </xdr:nvSpPr>
      <xdr:spPr>
        <a:xfrm>
          <a:off x="154628" y="85164"/>
          <a:ext cx="288686" cy="291352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extrusionH="101600">
          <a:bevelT w="1016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Webdings" panose="05030102010509060703" pitchFamily="18" charset="2"/>
            </a:rPr>
            <a:t>5</a:t>
          </a:r>
        </a:p>
      </xdr:txBody>
    </xdr:sp>
    <xdr:clientData fPrintsWithSheet="0"/>
  </xdr:twoCellAnchor>
  <xdr:twoCellAnchor editAs="absolute">
    <xdr:from>
      <xdr:col>5</xdr:col>
      <xdr:colOff>103597</xdr:colOff>
      <xdr:row>0</xdr:row>
      <xdr:rowOff>84536</xdr:rowOff>
    </xdr:from>
    <xdr:to>
      <xdr:col>5</xdr:col>
      <xdr:colOff>396205</xdr:colOff>
      <xdr:row>0</xdr:row>
      <xdr:rowOff>377144</xdr:rowOff>
    </xdr:to>
    <xdr:sp macro="[0]!yellowClicked" textlink="">
      <xdr:nvSpPr>
        <xdr:cNvPr id="7" name="Yellow" hidden="1">
          <a:extLst>
            <a:ext uri="{FF2B5EF4-FFF2-40B4-BE49-F238E27FC236}">
              <a16:creationId xmlns:a16="http://schemas.microsoft.com/office/drawing/2014/main" id="{5C85E176-A5DA-4C2F-B0DD-8E06E05579EA}"/>
            </a:ext>
          </a:extLst>
        </xdr:cNvPr>
        <xdr:cNvSpPr/>
      </xdr:nvSpPr>
      <xdr:spPr>
        <a:xfrm>
          <a:off x="4675597" y="84536"/>
          <a:ext cx="292608" cy="292608"/>
        </a:xfrm>
        <a:prstGeom prst="rect">
          <a:avLst/>
        </a:prstGeom>
        <a:solidFill>
          <a:srgbClr val="FFFF00"/>
        </a:solidFill>
        <a:scene3d>
          <a:camera prst="orthographicFront"/>
          <a:lightRig rig="threePt" dir="t"/>
        </a:scene3d>
        <a:sp3d extrusionH="101600">
          <a:bevelT w="1016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absolute">
    <xdr:from>
      <xdr:col>5</xdr:col>
      <xdr:colOff>496235</xdr:colOff>
      <xdr:row>0</xdr:row>
      <xdr:rowOff>84536</xdr:rowOff>
    </xdr:from>
    <xdr:to>
      <xdr:col>5</xdr:col>
      <xdr:colOff>788843</xdr:colOff>
      <xdr:row>0</xdr:row>
      <xdr:rowOff>377144</xdr:rowOff>
    </xdr:to>
    <xdr:sp macro="[0]!turqoiseClicked" textlink="">
      <xdr:nvSpPr>
        <xdr:cNvPr id="8" name="Turqoise" hidden="1">
          <a:extLst>
            <a:ext uri="{FF2B5EF4-FFF2-40B4-BE49-F238E27FC236}">
              <a16:creationId xmlns:a16="http://schemas.microsoft.com/office/drawing/2014/main" id="{13917287-DCB7-4F84-A25A-66607B486F80}"/>
            </a:ext>
          </a:extLst>
        </xdr:cNvPr>
        <xdr:cNvSpPr/>
      </xdr:nvSpPr>
      <xdr:spPr>
        <a:xfrm>
          <a:off x="5068235" y="84536"/>
          <a:ext cx="292608" cy="292608"/>
        </a:xfrm>
        <a:prstGeom prst="rect">
          <a:avLst/>
        </a:prstGeom>
        <a:solidFill>
          <a:srgbClr val="66FFFF"/>
        </a:solid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absolute">
    <xdr:from>
      <xdr:col>5</xdr:col>
      <xdr:colOff>888873</xdr:colOff>
      <xdr:row>0</xdr:row>
      <xdr:rowOff>84536</xdr:rowOff>
    </xdr:from>
    <xdr:to>
      <xdr:col>6</xdr:col>
      <xdr:colOff>128128</xdr:colOff>
      <xdr:row>0</xdr:row>
      <xdr:rowOff>377144</xdr:rowOff>
    </xdr:to>
    <xdr:sp macro="[0]!greenClicked" textlink="">
      <xdr:nvSpPr>
        <xdr:cNvPr id="9" name="Green" hidden="1">
          <a:extLst>
            <a:ext uri="{FF2B5EF4-FFF2-40B4-BE49-F238E27FC236}">
              <a16:creationId xmlns:a16="http://schemas.microsoft.com/office/drawing/2014/main" id="{0919A95E-B7EC-43A9-91B8-22935EF47BEB}"/>
            </a:ext>
          </a:extLst>
        </xdr:cNvPr>
        <xdr:cNvSpPr/>
      </xdr:nvSpPr>
      <xdr:spPr>
        <a:xfrm>
          <a:off x="5460873" y="84536"/>
          <a:ext cx="287005" cy="292608"/>
        </a:xfrm>
        <a:prstGeom prst="rect">
          <a:avLst/>
        </a:prstGeom>
        <a:solidFill>
          <a:srgbClr val="66FF33"/>
        </a:solid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absolute">
    <xdr:from>
      <xdr:col>6</xdr:col>
      <xdr:colOff>228158</xdr:colOff>
      <xdr:row>0</xdr:row>
      <xdr:rowOff>84536</xdr:rowOff>
    </xdr:from>
    <xdr:to>
      <xdr:col>6</xdr:col>
      <xdr:colOff>520766</xdr:colOff>
      <xdr:row>0</xdr:row>
      <xdr:rowOff>377144</xdr:rowOff>
    </xdr:to>
    <xdr:sp macro="[0]!eraserClicked" textlink="">
      <xdr:nvSpPr>
        <xdr:cNvPr id="10" name="Erase" hidden="1">
          <a:extLst>
            <a:ext uri="{FF2B5EF4-FFF2-40B4-BE49-F238E27FC236}">
              <a16:creationId xmlns:a16="http://schemas.microsoft.com/office/drawing/2014/main" id="{8E38C42C-3BDC-4B2A-8F24-2430704A3347}"/>
            </a:ext>
          </a:extLst>
        </xdr:cNvPr>
        <xdr:cNvSpPr/>
      </xdr:nvSpPr>
      <xdr:spPr>
        <a:xfrm>
          <a:off x="5847908" y="84536"/>
          <a:ext cx="292608" cy="292608"/>
        </a:xfrm>
        <a:prstGeom prst="rect">
          <a:avLst/>
        </a:prstGeom>
        <a:pattFill prst="wdDnDiag">
          <a:fgClr>
            <a:srgbClr val="FF0000"/>
          </a:fgClr>
          <a:bgClr>
            <a:schemeClr val="bg1"/>
          </a:bgClr>
        </a:patt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absolute">
    <xdr:from>
      <xdr:col>2</xdr:col>
      <xdr:colOff>4645</xdr:colOff>
      <xdr:row>0</xdr:row>
      <xdr:rowOff>85164</xdr:rowOff>
    </xdr:from>
    <xdr:to>
      <xdr:col>2</xdr:col>
      <xdr:colOff>291650</xdr:colOff>
      <xdr:row>0</xdr:row>
      <xdr:rowOff>376516</xdr:rowOff>
    </xdr:to>
    <xdr:sp macro="[0]!dateButton" textlink="">
      <xdr:nvSpPr>
        <xdr:cNvPr id="11" name="Date">
          <a:extLst>
            <a:ext uri="{FF2B5EF4-FFF2-40B4-BE49-F238E27FC236}">
              <a16:creationId xmlns:a16="http://schemas.microsoft.com/office/drawing/2014/main" id="{82F646DA-BA76-4DD1-9220-5AB37C4ADA6B}"/>
            </a:ext>
          </a:extLst>
        </xdr:cNvPr>
        <xdr:cNvSpPr/>
      </xdr:nvSpPr>
      <xdr:spPr>
        <a:xfrm>
          <a:off x="1328620" y="85164"/>
          <a:ext cx="287005" cy="291352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800" b="1">
              <a:solidFill>
                <a:schemeClr val="tx1"/>
              </a:solidFill>
              <a:latin typeface="Wingdings 2" panose="05020102010507070707" pitchFamily="18" charset="2"/>
              <a:ea typeface="+mn-ea"/>
              <a:cs typeface="+mn-cs"/>
            </a:rPr>
            <a:t>.</a:t>
          </a:r>
        </a:p>
      </xdr:txBody>
    </xdr:sp>
    <xdr:clientData fPrintsWithSheet="0"/>
  </xdr:twoCellAnchor>
  <xdr:twoCellAnchor editAs="absolute">
    <xdr:from>
      <xdr:col>6</xdr:col>
      <xdr:colOff>620791</xdr:colOff>
      <xdr:row>0</xdr:row>
      <xdr:rowOff>84536</xdr:rowOff>
    </xdr:from>
    <xdr:to>
      <xdr:col>6</xdr:col>
      <xdr:colOff>913399</xdr:colOff>
      <xdr:row>0</xdr:row>
      <xdr:rowOff>377144</xdr:rowOff>
    </xdr:to>
    <xdr:sp macro="[0]!clearClicked" textlink="">
      <xdr:nvSpPr>
        <xdr:cNvPr id="12" name="Clear" hidden="1">
          <a:extLst>
            <a:ext uri="{FF2B5EF4-FFF2-40B4-BE49-F238E27FC236}">
              <a16:creationId xmlns:a16="http://schemas.microsoft.com/office/drawing/2014/main" id="{513E7CA0-98D1-40E1-9CD0-EEFA7E4AA86A}"/>
            </a:ext>
          </a:extLst>
        </xdr:cNvPr>
        <xdr:cNvSpPr/>
      </xdr:nvSpPr>
      <xdr:spPr>
        <a:xfrm>
          <a:off x="6240541" y="84536"/>
          <a:ext cx="292608" cy="292608"/>
        </a:xfrm>
        <a:prstGeom prst="rect">
          <a:avLst/>
        </a:prstGeom>
        <a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a:blip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absolute">
    <xdr:from>
      <xdr:col>1</xdr:col>
      <xdr:colOff>659757</xdr:colOff>
      <xdr:row>0</xdr:row>
      <xdr:rowOff>85164</xdr:rowOff>
    </xdr:from>
    <xdr:to>
      <xdr:col>1</xdr:col>
      <xdr:colOff>952365</xdr:colOff>
      <xdr:row>0</xdr:row>
      <xdr:rowOff>376516</xdr:rowOff>
    </xdr:to>
    <xdr:sp macro="[0]!exportSchedule" textlink="">
      <xdr:nvSpPr>
        <xdr:cNvPr id="13" name="Export">
          <a:extLst>
            <a:ext uri="{FF2B5EF4-FFF2-40B4-BE49-F238E27FC236}">
              <a16:creationId xmlns:a16="http://schemas.microsoft.com/office/drawing/2014/main" id="{41509BC0-F63E-4402-A584-A56994867B03}"/>
            </a:ext>
          </a:extLst>
        </xdr:cNvPr>
        <xdr:cNvSpPr/>
      </xdr:nvSpPr>
      <xdr:spPr>
        <a:xfrm>
          <a:off x="935982" y="85164"/>
          <a:ext cx="292608" cy="291352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tx1"/>
              </a:solidFill>
              <a:latin typeface="Wingdings" panose="05000000000000000000" pitchFamily="2" charset="2"/>
              <a:ea typeface="+mn-ea"/>
              <a:cs typeface="+mn-cs"/>
            </a:rPr>
            <a:t>&lt;</a:t>
          </a:r>
        </a:p>
      </xdr:txBody>
    </xdr:sp>
    <xdr:clientData fPrintsWithSheet="0"/>
  </xdr:twoCellAnchor>
  <xdr:twoCellAnchor editAs="absolute">
    <xdr:from>
      <xdr:col>1</xdr:col>
      <xdr:colOff>267119</xdr:colOff>
      <xdr:row>0</xdr:row>
      <xdr:rowOff>85164</xdr:rowOff>
    </xdr:from>
    <xdr:to>
      <xdr:col>1</xdr:col>
      <xdr:colOff>559727</xdr:colOff>
      <xdr:row>0</xdr:row>
      <xdr:rowOff>376516</xdr:rowOff>
    </xdr:to>
    <xdr:sp macro="[0]!warningClicked" textlink="">
      <xdr:nvSpPr>
        <xdr:cNvPr id="14" name="Warning">
          <a:extLst>
            <a:ext uri="{FF2B5EF4-FFF2-40B4-BE49-F238E27FC236}">
              <a16:creationId xmlns:a16="http://schemas.microsoft.com/office/drawing/2014/main" id="{9FD16B7C-F63D-450F-AE9C-17CE09096338}"/>
            </a:ext>
          </a:extLst>
        </xdr:cNvPr>
        <xdr:cNvSpPr/>
      </xdr:nvSpPr>
      <xdr:spPr>
        <a:xfrm>
          <a:off x="543344" y="85164"/>
          <a:ext cx="292608" cy="291352"/>
        </a:xfrm>
        <a:prstGeom prst="rect">
          <a:avLst/>
        </a:prstGeom>
        <a:solidFill>
          <a:srgbClr val="D9D9D9"/>
        </a:solidFill>
        <a:scene3d>
          <a:camera prst="orthographicFront"/>
          <a:lightRig rig="threePt" dir="t"/>
        </a:scene3d>
        <a:sp3d extrusionH="127000"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tx1"/>
              </a:solidFill>
              <a:latin typeface="Wingdings 2" panose="05020102010507070707" pitchFamily="18" charset="2"/>
              <a:ea typeface="+mn-ea"/>
              <a:cs typeface="+mn-cs"/>
            </a:rPr>
            <a:t>V</a:t>
          </a:r>
          <a:endParaRPr lang="en-US" sz="1400" b="1">
            <a:solidFill>
              <a:schemeClr val="tx1"/>
            </a:solidFill>
            <a:latin typeface="Wingdings 2" panose="05020102010507070707" pitchFamily="18" charset="2"/>
            <a:ea typeface="+mn-ea"/>
            <a:cs typeface="+mn-cs"/>
          </a:endParaRPr>
        </a:p>
      </xdr:txBody>
    </xdr:sp>
    <xdr:clientData fPrintsWithSheet="0"/>
  </xdr:twoCellAnchor>
  <xdr:twoCellAnchor>
    <xdr:from>
      <xdr:col>0</xdr:col>
      <xdr:colOff>67235</xdr:colOff>
      <xdr:row>0</xdr:row>
      <xdr:rowOff>11206</xdr:rowOff>
    </xdr:from>
    <xdr:to>
      <xdr:col>0</xdr:col>
      <xdr:colOff>250115</xdr:colOff>
      <xdr:row>0</xdr:row>
      <xdr:rowOff>194086</xdr:rowOff>
    </xdr:to>
    <xdr:sp macro="[0]!condensedClicked" textlink="">
      <xdr:nvSpPr>
        <xdr:cNvPr id="15" name="Notification" hidden="1">
          <a:extLst>
            <a:ext uri="{FF2B5EF4-FFF2-40B4-BE49-F238E27FC236}">
              <a16:creationId xmlns:a16="http://schemas.microsoft.com/office/drawing/2014/main" id="{7D9E04FE-86FE-4A37-BEE2-9059A2F5B964}"/>
            </a:ext>
          </a:extLst>
        </xdr:cNvPr>
        <xdr:cNvSpPr/>
      </xdr:nvSpPr>
      <xdr:spPr>
        <a:xfrm>
          <a:off x="67235" y="11206"/>
          <a:ext cx="182880" cy="18288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673FE-6542-4983-A384-327DEB38CFE0}">
  <sheetPr codeName="Sheet12">
    <pageSetUpPr fitToPage="1"/>
  </sheetPr>
  <dimension ref="A1:I9"/>
  <sheetViews>
    <sheetView showGridLines="0" showRowColHeaders="0" tabSelected="1" zoomScale="85" zoomScaleNormal="85" workbookViewId="0">
      <pane ySplit="1" topLeftCell="A2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4.140625" style="13" customWidth="1"/>
    <col min="2" max="2" width="15.7109375" customWidth="1"/>
    <col min="3" max="3" width="15.5703125" customWidth="1"/>
    <col min="4" max="4" width="17.42578125" customWidth="1"/>
    <col min="5" max="9" width="15.7109375" customWidth="1"/>
    <col min="11" max="12" width="9.140625" customWidth="1"/>
    <col min="14" max="14" width="9.140625" customWidth="1"/>
    <col min="16" max="19" width="9.140625" customWidth="1"/>
  </cols>
  <sheetData>
    <row r="1" spans="1:9" ht="36" customHeight="1" x14ac:dyDescent="0.25"/>
    <row r="2" spans="1:9" ht="36" customHeight="1" x14ac:dyDescent="0.25">
      <c r="A2" s="29" t="str">
        <f>"District "&amp;Settings!B7&amp;" - Storage Expert Schedule v" &amp; Settings!B8</f>
        <v>District 1 - Storage Expert Schedule v1</v>
      </c>
      <c r="B2" s="29"/>
      <c r="C2" s="29"/>
      <c r="D2" s="29"/>
      <c r="E2" s="29"/>
      <c r="F2" s="29"/>
      <c r="G2" s="28" t="str">
        <f>TEXT(C4, "mm/dd/yyyy")&amp;" - "&amp;TEXT(I4, "mm/dd/yyyy")</f>
        <v>01/00/1900 - 01/00/1900</v>
      </c>
      <c r="H2" s="28"/>
      <c r="I2" s="28"/>
    </row>
    <row r="3" spans="1:9" x14ac:dyDescent="0.25">
      <c r="A3" s="26" t="s">
        <v>9</v>
      </c>
      <c r="B3" s="27" t="s">
        <v>8</v>
      </c>
      <c r="C3" s="15" t="s">
        <v>0</v>
      </c>
      <c r="D3" s="15" t="s">
        <v>1</v>
      </c>
      <c r="E3" s="15" t="s">
        <v>2</v>
      </c>
      <c r="F3" s="15" t="s">
        <v>3</v>
      </c>
      <c r="G3" s="15" t="s">
        <v>4</v>
      </c>
      <c r="H3" s="15" t="s">
        <v>5</v>
      </c>
      <c r="I3" s="15" t="s">
        <v>6</v>
      </c>
    </row>
    <row r="4" spans="1:9" x14ac:dyDescent="0.25">
      <c r="A4" s="26"/>
      <c r="B4" s="27"/>
      <c r="C4" s="16"/>
      <c r="D4" s="16"/>
      <c r="E4" s="16"/>
      <c r="F4" s="16"/>
      <c r="G4" s="16"/>
      <c r="H4" s="16"/>
      <c r="I4" s="16"/>
    </row>
    <row r="5" spans="1:9" ht="78" hidden="1" x14ac:dyDescent="0.25">
      <c r="A5" s="17" t="s">
        <v>128</v>
      </c>
      <c r="B5" s="14"/>
      <c r="C5" s="14"/>
      <c r="D5" s="14"/>
      <c r="E5" s="14"/>
      <c r="F5" s="14"/>
      <c r="G5" s="14"/>
      <c r="H5" s="14"/>
      <c r="I5" s="14"/>
    </row>
    <row r="6" spans="1:9" ht="43.5" hidden="1" x14ac:dyDescent="0.25">
      <c r="A6" s="17" t="s">
        <v>118</v>
      </c>
      <c r="B6" s="14"/>
      <c r="C6" s="14"/>
      <c r="D6" s="14"/>
      <c r="E6" s="14"/>
      <c r="F6" s="14"/>
      <c r="G6" s="14"/>
      <c r="H6" s="14"/>
      <c r="I6" s="14"/>
    </row>
    <row r="7" spans="1:9" ht="42" x14ac:dyDescent="0.25">
      <c r="A7" s="18" t="s">
        <v>7</v>
      </c>
      <c r="B7" s="19"/>
      <c r="C7" s="19"/>
      <c r="D7" s="19"/>
      <c r="E7" s="19"/>
      <c r="F7" s="19"/>
      <c r="G7" s="19"/>
      <c r="H7" s="19"/>
      <c r="I7" s="19"/>
    </row>
    <row r="8" spans="1:9" ht="30" x14ac:dyDescent="0.25">
      <c r="A8" s="30" t="s">
        <v>9</v>
      </c>
      <c r="B8" s="31"/>
      <c r="C8" s="20" t="str">
        <f>C3 &amp; CHAR(10) &amp; TEXT(C4,"mm.dd.yy")</f>
        <v>Monday
01.00.00</v>
      </c>
      <c r="D8" s="20" t="str">
        <f t="shared" ref="D8:I8" si="0">D3 &amp; CHAR(10) &amp; TEXT(D4,"mm.dd.yy")</f>
        <v>Tuesday
01.00.00</v>
      </c>
      <c r="E8" s="20" t="str">
        <f t="shared" si="0"/>
        <v>Wednesday
01.00.00</v>
      </c>
      <c r="F8" s="20" t="str">
        <f t="shared" si="0"/>
        <v>Thursday
01.00.00</v>
      </c>
      <c r="G8" s="20" t="str">
        <f t="shared" si="0"/>
        <v>Friday
01.00.00</v>
      </c>
      <c r="H8" s="20" t="str">
        <f t="shared" si="0"/>
        <v>Saturday
01.00.00</v>
      </c>
      <c r="I8" s="21" t="str">
        <f t="shared" si="0"/>
        <v>Sunday
01.00.00</v>
      </c>
    </row>
    <row r="9" spans="1:9" x14ac:dyDescent="0.25">
      <c r="A9" s="24" t="s">
        <v>129</v>
      </c>
      <c r="B9" s="25"/>
      <c r="C9" s="22">
        <f>SUM(Stores!E:E)</f>
        <v>0</v>
      </c>
      <c r="D9" s="22">
        <f>SUM(Stores!H:H)</f>
        <v>0</v>
      </c>
      <c r="E9" s="22">
        <f>SUM(Stores!K:K)</f>
        <v>0</v>
      </c>
      <c r="F9" s="22">
        <f>SUM(Stores!N:N)</f>
        <v>0</v>
      </c>
      <c r="G9" s="22">
        <f>SUM(Stores!Q:Q)</f>
        <v>0</v>
      </c>
      <c r="H9" s="22">
        <f>SUM(Stores!T:T)</f>
        <v>0</v>
      </c>
      <c r="I9" s="23">
        <f>SUM(Stores!W:W)</f>
        <v>0</v>
      </c>
    </row>
  </sheetData>
  <mergeCells count="6">
    <mergeCell ref="A9:B9"/>
    <mergeCell ref="A3:A4"/>
    <mergeCell ref="B3:B4"/>
    <mergeCell ref="G2:I2"/>
    <mergeCell ref="A2:F2"/>
    <mergeCell ref="A8:B8"/>
  </mergeCells>
  <conditionalFormatting sqref="C1:I1 G2 C10:I1048576 C3:I6">
    <cfRule type="containsText" dxfId="10" priority="81" operator="containsText" text="OFF (">
      <formula>NOT(ISERROR(SEARCH("OFF (",C1)))</formula>
    </cfRule>
  </conditionalFormatting>
  <conditionalFormatting sqref="C8:I9">
    <cfRule type="containsText" dxfId="9" priority="12" operator="containsText" text="OFF (">
      <formula>NOT(ISERROR(SEARCH("OFF (",C8)))</formula>
    </cfRule>
  </conditionalFormatting>
  <conditionalFormatting sqref="C7:I7">
    <cfRule type="containsText" dxfId="8" priority="1" operator="containsText" text="OFF (">
      <formula>NOT(ISERROR(SEARCH("OFF (",C7)))</formula>
    </cfRule>
  </conditionalFormatting>
  <printOptions horizontalCentered="1"/>
  <pageMargins left="0.7" right="0.7" top="0.75" bottom="0.75" header="0.3" footer="0.3"/>
  <pageSetup scale="9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73AA0-3F07-418A-80C7-382A30097D70}">
  <sheetPr codeName="Sheet2"/>
  <dimension ref="A1:Y1"/>
  <sheetViews>
    <sheetView workbookViewId="0">
      <selection activeCell="A2" sqref="A2:Y2"/>
    </sheetView>
  </sheetViews>
  <sheetFormatPr defaultRowHeight="15" x14ac:dyDescent="0.25"/>
  <cols>
    <col min="1" max="1" width="14.85546875" style="4" bestFit="1" customWidth="1"/>
    <col min="2" max="2" width="15.28515625" style="3" bestFit="1" customWidth="1"/>
    <col min="3" max="3" width="13.28515625" style="3" bestFit="1" customWidth="1"/>
    <col min="4" max="4" width="11.7109375" style="3" bestFit="1" customWidth="1"/>
    <col min="5" max="5" width="13.85546875" style="3" bestFit="1" customWidth="1"/>
    <col min="6" max="6" width="5.7109375" style="3" bestFit="1" customWidth="1"/>
    <col min="7" max="7" width="8" style="3" bestFit="1" customWidth="1"/>
    <col min="8" max="8" width="14.140625" style="3" bestFit="1" customWidth="1"/>
    <col min="9" max="9" width="5.7109375" style="3" bestFit="1" customWidth="1"/>
    <col min="10" max="10" width="8" style="3" bestFit="1" customWidth="1"/>
    <col min="11" max="11" width="17" style="3" bestFit="1" customWidth="1"/>
    <col min="12" max="12" width="5.7109375" style="3" bestFit="1" customWidth="1"/>
    <col min="13" max="13" width="8" style="3" bestFit="1" customWidth="1"/>
    <col min="14" max="14" width="15" style="3" bestFit="1" customWidth="1"/>
    <col min="15" max="15" width="5.7109375" style="3" bestFit="1" customWidth="1"/>
    <col min="16" max="16" width="8" style="3" bestFit="1" customWidth="1"/>
    <col min="17" max="17" width="12.140625" style="3" bestFit="1" customWidth="1"/>
    <col min="18" max="18" width="5.7109375" style="3" bestFit="1" customWidth="1"/>
    <col min="19" max="19" width="8" style="3" bestFit="1" customWidth="1"/>
    <col min="20" max="20" width="14.5703125" style="3" bestFit="1" customWidth="1"/>
    <col min="21" max="21" width="5.7109375" style="3" bestFit="1" customWidth="1"/>
    <col min="22" max="22" width="8" style="3" bestFit="1" customWidth="1"/>
    <col min="23" max="23" width="13.28515625" style="3" bestFit="1" customWidth="1"/>
    <col min="24" max="24" width="5.7109375" style="3" bestFit="1" customWidth="1"/>
    <col min="25" max="25" width="8" style="3" bestFit="1" customWidth="1"/>
  </cols>
  <sheetData>
    <row r="1" spans="1:25" x14ac:dyDescent="0.25">
      <c r="A1" s="5" t="s">
        <v>10</v>
      </c>
      <c r="B1" s="5" t="s">
        <v>13</v>
      </c>
      <c r="C1" s="5" t="s">
        <v>15</v>
      </c>
      <c r="D1" s="5" t="s">
        <v>26</v>
      </c>
      <c r="E1" s="5" t="s">
        <v>16</v>
      </c>
      <c r="F1" s="5" t="s">
        <v>23</v>
      </c>
      <c r="G1" s="5" t="s">
        <v>24</v>
      </c>
      <c r="H1" s="5" t="s">
        <v>17</v>
      </c>
      <c r="I1" s="5" t="s">
        <v>23</v>
      </c>
      <c r="J1" s="5" t="s">
        <v>24</v>
      </c>
      <c r="K1" s="5" t="s">
        <v>18</v>
      </c>
      <c r="L1" s="5" t="s">
        <v>23</v>
      </c>
      <c r="M1" s="5" t="s">
        <v>24</v>
      </c>
      <c r="N1" s="5" t="s">
        <v>19</v>
      </c>
      <c r="O1" s="5" t="s">
        <v>23</v>
      </c>
      <c r="P1" s="5" t="s">
        <v>24</v>
      </c>
      <c r="Q1" s="5" t="s">
        <v>20</v>
      </c>
      <c r="R1" s="5" t="s">
        <v>23</v>
      </c>
      <c r="S1" s="5" t="s">
        <v>24</v>
      </c>
      <c r="T1" s="5" t="s">
        <v>21</v>
      </c>
      <c r="U1" s="5" t="s">
        <v>23</v>
      </c>
      <c r="V1" s="5" t="s">
        <v>24</v>
      </c>
      <c r="W1" s="5" t="s">
        <v>22</v>
      </c>
      <c r="X1" s="5" t="s">
        <v>23</v>
      </c>
      <c r="Y1" s="5" t="s">
        <v>24</v>
      </c>
    </row>
  </sheetData>
  <conditionalFormatting sqref="Y2:Y1048576 V2:V1048576 S2:S1048576 P2:P1048576 M2:M1048576 J2:J1048576 G2:G1048576">
    <cfRule type="containsText" dxfId="7" priority="69" operator="containsText" text="FALSE">
      <formula>NOT(ISERROR(SEARCH("FALSE",G2)))</formula>
    </cfRule>
    <cfRule type="cellIs" dxfId="6" priority="70" operator="equal">
      <formula>TRUE</formula>
    </cfRule>
    <cfRule type="containsBlanks" dxfId="5" priority="72">
      <formula>LEN(TRIM(G2))=0</formula>
    </cfRule>
  </conditionalFormatting>
  <conditionalFormatting sqref="D2:D1048576">
    <cfRule type="containsText" dxfId="4" priority="66" operator="containsText" text="FALSE">
      <formula>NOT(ISERROR(SEARCH("FALSE",D2)))</formula>
    </cfRule>
    <cfRule type="containsText" dxfId="3" priority="67" operator="containsText" text="TRUE">
      <formula>NOT(ISERROR(SEARCH("TRUE",D2)))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E5E42-CF33-4230-AD82-2D1BE36E3AC0}">
  <sheetPr codeName="Sheet3"/>
  <dimension ref="A1:H1"/>
  <sheetViews>
    <sheetView workbookViewId="0">
      <selection activeCell="A2" sqref="A2:H2"/>
    </sheetView>
  </sheetViews>
  <sheetFormatPr defaultRowHeight="15" x14ac:dyDescent="0.25"/>
  <cols>
    <col min="1" max="1" width="11.42578125" style="4" bestFit="1" customWidth="1"/>
    <col min="2" max="2" width="11.42578125" style="4" customWidth="1"/>
    <col min="3" max="3" width="15.28515625" style="3" bestFit="1" customWidth="1"/>
    <col min="4" max="4" width="15.28515625" style="3" customWidth="1"/>
    <col min="5" max="5" width="13.28515625" style="3" bestFit="1" customWidth="1"/>
    <col min="6" max="6" width="13.7109375" style="3" bestFit="1" customWidth="1"/>
    <col min="7" max="7" width="9.85546875" style="1" bestFit="1" customWidth="1"/>
    <col min="8" max="8" width="13.7109375" style="3" bestFit="1" customWidth="1"/>
  </cols>
  <sheetData>
    <row r="1" spans="1:8" x14ac:dyDescent="0.25">
      <c r="A1" s="2" t="s">
        <v>12</v>
      </c>
      <c r="B1" s="2" t="s">
        <v>27</v>
      </c>
      <c r="C1" s="2" t="s">
        <v>13</v>
      </c>
      <c r="D1" s="2" t="s">
        <v>33</v>
      </c>
      <c r="E1" s="2" t="s">
        <v>11</v>
      </c>
      <c r="F1" s="2" t="s">
        <v>121</v>
      </c>
      <c r="G1" s="2" t="s">
        <v>25</v>
      </c>
      <c r="H1" s="2" t="s">
        <v>14</v>
      </c>
    </row>
  </sheetData>
  <conditionalFormatting sqref="G2:G1048576">
    <cfRule type="containsText" dxfId="2" priority="31" operator="containsText" text="TRUE">
      <formula>NOT(ISERROR(SEARCH("TRUE",G2)))</formula>
    </cfRule>
    <cfRule type="containsText" dxfId="1" priority="32" operator="containsText" text="FALSE">
      <formula>NOT(ISERROR(SEARCH("FALSE",G2)))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A216-5307-43B1-8F08-5D0E72F06601}">
  <sheetPr codeName="Sheet4"/>
  <dimension ref="A1:H10"/>
  <sheetViews>
    <sheetView workbookViewId="0"/>
  </sheetViews>
  <sheetFormatPr defaultRowHeight="15" x14ac:dyDescent="0.25"/>
  <cols>
    <col min="1" max="1" width="15.7109375" bestFit="1" customWidth="1"/>
    <col min="2" max="3" width="10.5703125" bestFit="1" customWidth="1"/>
    <col min="4" max="4" width="11.140625" bestFit="1" customWidth="1"/>
    <col min="5" max="8" width="10.5703125" bestFit="1" customWidth="1"/>
  </cols>
  <sheetData>
    <row r="1" spans="1:8" x14ac:dyDescent="0.25">
      <c r="A1" s="6"/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</row>
    <row r="2" spans="1:8" x14ac:dyDescent="0.25">
      <c r="A2" s="8" t="s">
        <v>28</v>
      </c>
      <c r="B2" s="3" t="b">
        <v>0</v>
      </c>
      <c r="C2" s="3" t="b">
        <v>0</v>
      </c>
      <c r="D2" s="3" t="b">
        <v>0</v>
      </c>
      <c r="E2" s="3" t="b">
        <v>0</v>
      </c>
      <c r="F2" s="3" t="b">
        <v>0</v>
      </c>
      <c r="G2" s="3" t="b">
        <v>0</v>
      </c>
      <c r="H2" s="7" t="b">
        <v>1</v>
      </c>
    </row>
    <row r="3" spans="1:8" x14ac:dyDescent="0.25">
      <c r="A3" s="8" t="s">
        <v>29</v>
      </c>
      <c r="B3" s="3" t="b">
        <v>0</v>
      </c>
      <c r="C3" s="3" t="b">
        <v>0</v>
      </c>
      <c r="D3" s="3" t="b">
        <v>0</v>
      </c>
      <c r="E3" s="3" t="b">
        <v>0</v>
      </c>
      <c r="F3" s="3" t="b">
        <v>0</v>
      </c>
      <c r="G3" s="3" t="b">
        <v>0</v>
      </c>
      <c r="H3" s="3" t="b">
        <v>0</v>
      </c>
    </row>
    <row r="4" spans="1:8" x14ac:dyDescent="0.25">
      <c r="A4" s="8" t="s">
        <v>31</v>
      </c>
      <c r="B4" s="7">
        <v>0.39583333333333331</v>
      </c>
      <c r="C4" s="7">
        <v>0.39583333333333331</v>
      </c>
      <c r="D4" s="7">
        <v>0.39583333333333331</v>
      </c>
      <c r="E4" s="7">
        <v>0.39583333333333331</v>
      </c>
      <c r="F4" s="7">
        <v>0.39583333333333331</v>
      </c>
      <c r="G4" s="7">
        <v>0.39583333333333331</v>
      </c>
      <c r="H4" s="7"/>
    </row>
    <row r="5" spans="1:8" x14ac:dyDescent="0.25">
      <c r="A5" s="8" t="s">
        <v>30</v>
      </c>
      <c r="B5" s="7">
        <v>0.75</v>
      </c>
      <c r="C5" s="7">
        <v>0.75</v>
      </c>
      <c r="D5" s="7">
        <v>0.75</v>
      </c>
      <c r="E5" s="7">
        <v>0.75</v>
      </c>
      <c r="F5" s="7">
        <v>0.75</v>
      </c>
      <c r="G5" s="7">
        <v>0.75</v>
      </c>
      <c r="H5" s="7"/>
    </row>
    <row r="6" spans="1:8" x14ac:dyDescent="0.25">
      <c r="A6" s="8" t="s">
        <v>32</v>
      </c>
      <c r="B6" s="3"/>
      <c r="C6" s="3"/>
      <c r="D6" s="3"/>
      <c r="E6" s="3"/>
      <c r="F6" s="3"/>
      <c r="G6" s="3"/>
      <c r="H6" s="3"/>
    </row>
    <row r="7" spans="1:8" x14ac:dyDescent="0.25">
      <c r="A7" s="8" t="s">
        <v>33</v>
      </c>
      <c r="B7" s="3" t="s">
        <v>37</v>
      </c>
      <c r="C7" s="3" t="s">
        <v>37</v>
      </c>
      <c r="D7" s="3" t="s">
        <v>37</v>
      </c>
      <c r="E7" s="3" t="s">
        <v>37</v>
      </c>
      <c r="F7" s="3" t="s">
        <v>37</v>
      </c>
      <c r="G7" s="3" t="s">
        <v>37</v>
      </c>
      <c r="H7" s="3"/>
    </row>
    <row r="8" spans="1:8" x14ac:dyDescent="0.25">
      <c r="A8" s="8" t="s">
        <v>34</v>
      </c>
      <c r="B8" s="3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</row>
    <row r="9" spans="1:8" x14ac:dyDescent="0.25">
      <c r="A9" s="8" t="s">
        <v>35</v>
      </c>
      <c r="B9" s="7" t="str">
        <f>IF(B8=TRUE,TIME(9,30,0), "")</f>
        <v/>
      </c>
      <c r="C9" s="7"/>
      <c r="D9" s="7" t="str">
        <f t="shared" ref="D9:F9" si="0">IF(D8=TRUE,TIME(9,30,0), "")</f>
        <v/>
      </c>
      <c r="E9" s="7" t="str">
        <f t="shared" si="0"/>
        <v/>
      </c>
      <c r="F9" s="7" t="str">
        <f t="shared" si="0"/>
        <v/>
      </c>
      <c r="G9" s="7" t="str">
        <f>IF(G8=TRUE,TIME(9,30,0), "")</f>
        <v/>
      </c>
      <c r="H9" s="7"/>
    </row>
    <row r="10" spans="1:8" x14ac:dyDescent="0.25">
      <c r="A10" s="8" t="s">
        <v>36</v>
      </c>
      <c r="B10" s="7" t="str">
        <f>IF(B8=TRUE,TIME(18,0,0),"")</f>
        <v/>
      </c>
      <c r="C10" s="7"/>
      <c r="D10" s="7" t="str">
        <f t="shared" ref="D10:G10" si="1">IF(D8=TRUE,TIME(18,0,0),"")</f>
        <v/>
      </c>
      <c r="E10" s="7" t="str">
        <f t="shared" si="1"/>
        <v/>
      </c>
      <c r="F10" s="7" t="str">
        <f t="shared" si="1"/>
        <v/>
      </c>
      <c r="G10" s="7" t="str">
        <f t="shared" si="1"/>
        <v/>
      </c>
      <c r="H10" s="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D2BAF-8C49-4E07-ABEF-C6BBFD4B3810}">
  <sheetPr codeName="Sheet5"/>
  <dimension ref="A1:BZ1"/>
  <sheetViews>
    <sheetView workbookViewId="0">
      <selection activeCell="A2" sqref="A2:BZ2"/>
    </sheetView>
  </sheetViews>
  <sheetFormatPr defaultRowHeight="15" x14ac:dyDescent="0.25"/>
  <cols>
    <col min="1" max="1" width="11.42578125" bestFit="1" customWidth="1"/>
    <col min="4" max="4" width="21" bestFit="1" customWidth="1"/>
    <col min="5" max="5" width="19" bestFit="1" customWidth="1"/>
    <col min="6" max="6" width="20.42578125" bestFit="1" customWidth="1"/>
    <col min="9" max="9" width="18" bestFit="1" customWidth="1"/>
    <col min="10" max="10" width="21" bestFit="1" customWidth="1"/>
    <col min="11" max="11" width="19" bestFit="1" customWidth="1"/>
    <col min="12" max="12" width="20.42578125" bestFit="1" customWidth="1"/>
    <col min="13" max="13" width="6.28515625" bestFit="1" customWidth="1"/>
    <col min="14" max="14" width="7.28515625" bestFit="1" customWidth="1"/>
    <col min="15" max="15" width="21" bestFit="1" customWidth="1"/>
    <col min="16" max="16" width="19" bestFit="1" customWidth="1"/>
    <col min="17" max="17" width="20.42578125" bestFit="1" customWidth="1"/>
    <col min="18" max="18" width="8.7109375" bestFit="1" customWidth="1"/>
    <col min="19" max="19" width="7.85546875" bestFit="1" customWidth="1"/>
    <col min="20" max="20" width="18" bestFit="1" customWidth="1"/>
    <col min="21" max="21" width="21" bestFit="1" customWidth="1"/>
    <col min="22" max="22" width="19" bestFit="1" customWidth="1"/>
    <col min="23" max="23" width="20.42578125" bestFit="1" customWidth="1"/>
    <col min="24" max="24" width="6.28515625" bestFit="1" customWidth="1"/>
    <col min="25" max="25" width="7.28515625" bestFit="1" customWidth="1"/>
    <col min="26" max="26" width="21" bestFit="1" customWidth="1"/>
    <col min="27" max="27" width="19" bestFit="1" customWidth="1"/>
    <col min="28" max="28" width="20.42578125" bestFit="1" customWidth="1"/>
    <col min="29" max="29" width="8.7109375" bestFit="1" customWidth="1"/>
    <col min="30" max="30" width="7.85546875" bestFit="1" customWidth="1"/>
    <col min="31" max="31" width="18" bestFit="1" customWidth="1"/>
    <col min="32" max="32" width="21" bestFit="1" customWidth="1"/>
    <col min="33" max="33" width="19" bestFit="1" customWidth="1"/>
    <col min="34" max="34" width="19.85546875" bestFit="1" customWidth="1"/>
    <col min="35" max="35" width="5.7109375" bestFit="1" customWidth="1"/>
    <col min="36" max="36" width="6.7109375" bestFit="1" customWidth="1"/>
    <col min="37" max="37" width="20.42578125" bestFit="1" customWidth="1"/>
    <col min="38" max="38" width="18.42578125" bestFit="1" customWidth="1"/>
    <col min="39" max="39" width="19.85546875" bestFit="1" customWidth="1"/>
    <col min="40" max="40" width="8.140625" bestFit="1" customWidth="1"/>
    <col min="41" max="41" width="7.28515625" bestFit="1" customWidth="1"/>
    <col min="42" max="42" width="17.42578125" bestFit="1" customWidth="1"/>
    <col min="43" max="43" width="20.42578125" bestFit="1" customWidth="1"/>
    <col min="44" max="44" width="18.42578125" bestFit="1" customWidth="1"/>
    <col min="45" max="45" width="19.85546875" bestFit="1" customWidth="1"/>
    <col min="46" max="46" width="6" bestFit="1" customWidth="1"/>
    <col min="47" max="47" width="6.28515625" bestFit="1" customWidth="1"/>
    <col min="48" max="48" width="20" bestFit="1" customWidth="1"/>
    <col min="49" max="49" width="18" bestFit="1" customWidth="1"/>
    <col min="50" max="50" width="19.42578125" bestFit="1" customWidth="1"/>
    <col min="51" max="51" width="7.7109375" bestFit="1" customWidth="1"/>
    <col min="52" max="52" width="6.85546875" bestFit="1" customWidth="1"/>
    <col min="53" max="53" width="16.85546875" bestFit="1" customWidth="1"/>
    <col min="54" max="54" width="20" bestFit="1" customWidth="1"/>
    <col min="55" max="55" width="18" bestFit="1" customWidth="1"/>
    <col min="56" max="56" width="19.42578125" bestFit="1" customWidth="1"/>
    <col min="57" max="57" width="5.7109375" bestFit="1" customWidth="1"/>
    <col min="58" max="58" width="6.7109375" bestFit="1" customWidth="1"/>
    <col min="59" max="59" width="20.42578125" bestFit="1" customWidth="1"/>
    <col min="60" max="60" width="18.42578125" bestFit="1" customWidth="1"/>
    <col min="61" max="61" width="19.85546875" bestFit="1" customWidth="1"/>
    <col min="62" max="62" width="8.140625" bestFit="1" customWidth="1"/>
    <col min="63" max="63" width="7.28515625" bestFit="1" customWidth="1"/>
    <col min="64" max="64" width="17.42578125" bestFit="1" customWidth="1"/>
    <col min="65" max="65" width="20.42578125" bestFit="1" customWidth="1"/>
    <col min="66" max="66" width="18.42578125" bestFit="1" customWidth="1"/>
    <col min="67" max="67" width="19.85546875" bestFit="1" customWidth="1"/>
    <col min="68" max="68" width="5.7109375" bestFit="1" customWidth="1"/>
    <col min="69" max="69" width="6.7109375" bestFit="1" customWidth="1"/>
    <col min="70" max="70" width="20.42578125" bestFit="1" customWidth="1"/>
    <col min="71" max="71" width="18.42578125" bestFit="1" customWidth="1"/>
    <col min="72" max="72" width="19.85546875" bestFit="1" customWidth="1"/>
    <col min="73" max="73" width="8.140625" bestFit="1" customWidth="1"/>
    <col min="74" max="74" width="7.28515625" bestFit="1" customWidth="1"/>
    <col min="75" max="75" width="17.42578125" bestFit="1" customWidth="1"/>
    <col min="76" max="76" width="20.42578125" bestFit="1" customWidth="1"/>
    <col min="77" max="77" width="18.42578125" bestFit="1" customWidth="1"/>
    <col min="78" max="78" width="20.7109375" bestFit="1" customWidth="1"/>
  </cols>
  <sheetData>
    <row r="1" spans="1:78" x14ac:dyDescent="0.25">
      <c r="A1" s="11" t="s">
        <v>8</v>
      </c>
      <c r="B1" s="9" t="s">
        <v>38</v>
      </c>
      <c r="C1" s="9" t="s">
        <v>39</v>
      </c>
      <c r="D1" s="9" t="s">
        <v>40</v>
      </c>
      <c r="E1" s="9" t="s">
        <v>41</v>
      </c>
      <c r="F1" s="9" t="s">
        <v>42</v>
      </c>
      <c r="G1" s="9" t="s">
        <v>43</v>
      </c>
      <c r="H1" s="9" t="s">
        <v>44</v>
      </c>
      <c r="I1" s="9" t="s">
        <v>45</v>
      </c>
      <c r="J1" s="9" t="s">
        <v>46</v>
      </c>
      <c r="K1" s="9" t="s">
        <v>47</v>
      </c>
      <c r="L1" s="9" t="s">
        <v>48</v>
      </c>
      <c r="M1" s="9" t="s">
        <v>49</v>
      </c>
      <c r="N1" s="9" t="s">
        <v>50</v>
      </c>
      <c r="O1" s="9" t="s">
        <v>51</v>
      </c>
      <c r="P1" s="9" t="s">
        <v>52</v>
      </c>
      <c r="Q1" s="9" t="s">
        <v>53</v>
      </c>
      <c r="R1" s="9" t="s">
        <v>54</v>
      </c>
      <c r="S1" s="9" t="s">
        <v>55</v>
      </c>
      <c r="T1" s="9" t="s">
        <v>56</v>
      </c>
      <c r="U1" s="9" t="s">
        <v>57</v>
      </c>
      <c r="V1" s="9" t="s">
        <v>58</v>
      </c>
      <c r="W1" s="9" t="s">
        <v>59</v>
      </c>
      <c r="X1" s="9" t="s">
        <v>60</v>
      </c>
      <c r="Y1" s="9" t="s">
        <v>61</v>
      </c>
      <c r="Z1" s="9" t="s">
        <v>62</v>
      </c>
      <c r="AA1" s="9" t="s">
        <v>63</v>
      </c>
      <c r="AB1" s="9" t="s">
        <v>64</v>
      </c>
      <c r="AC1" s="9" t="s">
        <v>65</v>
      </c>
      <c r="AD1" s="9" t="s">
        <v>66</v>
      </c>
      <c r="AE1" s="9" t="s">
        <v>67</v>
      </c>
      <c r="AF1" s="9" t="s">
        <v>68</v>
      </c>
      <c r="AG1" s="9" t="s">
        <v>69</v>
      </c>
      <c r="AH1" s="9" t="s">
        <v>70</v>
      </c>
      <c r="AI1" s="9" t="s">
        <v>71</v>
      </c>
      <c r="AJ1" s="9" t="s">
        <v>72</v>
      </c>
      <c r="AK1" s="9" t="s">
        <v>73</v>
      </c>
      <c r="AL1" s="9" t="s">
        <v>74</v>
      </c>
      <c r="AM1" s="9" t="s">
        <v>75</v>
      </c>
      <c r="AN1" s="9" t="s">
        <v>76</v>
      </c>
      <c r="AO1" s="9" t="s">
        <v>77</v>
      </c>
      <c r="AP1" s="9" t="s">
        <v>78</v>
      </c>
      <c r="AQ1" s="9" t="s">
        <v>79</v>
      </c>
      <c r="AR1" s="9" t="s">
        <v>80</v>
      </c>
      <c r="AS1" s="9" t="s">
        <v>81</v>
      </c>
      <c r="AT1" s="9" t="s">
        <v>82</v>
      </c>
      <c r="AU1" s="9" t="s">
        <v>83</v>
      </c>
      <c r="AV1" s="9" t="s">
        <v>84</v>
      </c>
      <c r="AW1" s="9" t="s">
        <v>85</v>
      </c>
      <c r="AX1" s="9" t="s">
        <v>86</v>
      </c>
      <c r="AY1" s="9" t="s">
        <v>87</v>
      </c>
      <c r="AZ1" s="9" t="s">
        <v>88</v>
      </c>
      <c r="BA1" s="9" t="s">
        <v>89</v>
      </c>
      <c r="BB1" s="9" t="s">
        <v>90</v>
      </c>
      <c r="BC1" s="9" t="s">
        <v>91</v>
      </c>
      <c r="BD1" s="9" t="s">
        <v>92</v>
      </c>
      <c r="BE1" s="9" t="s">
        <v>93</v>
      </c>
      <c r="BF1" s="9" t="s">
        <v>94</v>
      </c>
      <c r="BG1" s="9" t="s">
        <v>95</v>
      </c>
      <c r="BH1" s="9" t="s">
        <v>96</v>
      </c>
      <c r="BI1" s="9" t="s">
        <v>97</v>
      </c>
      <c r="BJ1" s="9" t="s">
        <v>98</v>
      </c>
      <c r="BK1" s="9" t="s">
        <v>99</v>
      </c>
      <c r="BL1" s="9" t="s">
        <v>100</v>
      </c>
      <c r="BM1" s="9" t="s">
        <v>101</v>
      </c>
      <c r="BN1" s="9" t="s">
        <v>102</v>
      </c>
      <c r="BO1" s="9" t="s">
        <v>103</v>
      </c>
      <c r="BP1" s="9" t="s">
        <v>104</v>
      </c>
      <c r="BQ1" s="9" t="s">
        <v>105</v>
      </c>
      <c r="BR1" s="9" t="s">
        <v>106</v>
      </c>
      <c r="BS1" s="9" t="s">
        <v>107</v>
      </c>
      <c r="BT1" s="9" t="s">
        <v>108</v>
      </c>
      <c r="BU1" s="9" t="s">
        <v>109</v>
      </c>
      <c r="BV1" s="9" t="s">
        <v>110</v>
      </c>
      <c r="BW1" s="9" t="s">
        <v>111</v>
      </c>
      <c r="BX1" s="9" t="s">
        <v>112</v>
      </c>
      <c r="BY1" s="9" t="s">
        <v>113</v>
      </c>
      <c r="BZ1" s="9" t="s">
        <v>114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723CC-A8D2-46DD-A20F-8E3A73B49B9D}">
  <sheetPr codeName="Sheet1"/>
  <dimension ref="A1:G2"/>
  <sheetViews>
    <sheetView showGridLines="0" showRowColHeaders="0" zoomScaleNormal="100" workbookViewId="0">
      <selection sqref="A1:G1"/>
    </sheetView>
  </sheetViews>
  <sheetFormatPr defaultRowHeight="15" x14ac:dyDescent="0.25"/>
  <cols>
    <col min="1" max="1" width="14.85546875" bestFit="1" customWidth="1"/>
    <col min="2" max="2" width="16" style="13" bestFit="1" customWidth="1"/>
    <col min="3" max="3" width="11.28515625" style="13" bestFit="1" customWidth="1"/>
    <col min="5" max="5" width="14" bestFit="1" customWidth="1"/>
    <col min="6" max="6" width="16" style="13" bestFit="1" customWidth="1"/>
    <col min="7" max="7" width="14" style="13" bestFit="1" customWidth="1"/>
  </cols>
  <sheetData>
    <row r="1" spans="1:7" ht="49.5" customHeight="1" x14ac:dyDescent="0.25">
      <c r="A1" s="32" t="str">
        <f>"District " &amp; Settings!B7&amp; " - Week of " &amp;Schedule!G2</f>
        <v>District 1 - Week of 01/00/1900 - 01/00/1900</v>
      </c>
      <c r="B1" s="32"/>
      <c r="C1" s="32"/>
      <c r="D1" s="32"/>
      <c r="E1" s="32"/>
      <c r="F1" s="32"/>
      <c r="G1" s="32"/>
    </row>
    <row r="2" spans="1:7" x14ac:dyDescent="0.25">
      <c r="A2" s="9" t="str" cm="1">
        <f t="array" ref="A2">_xlfn._xlws.FILTER(Stores!A:A,Stores!A:A &lt;&gt; "")</f>
        <v>Store</v>
      </c>
      <c r="B2" s="9" t="str" cm="1">
        <f t="array" ref="B2">_xlfn._xlws.FILTER(Stores!B:B,Stores!B:B &lt;&gt; "")</f>
        <v>Permitted Hours</v>
      </c>
      <c r="C2" s="9" t="str" cm="1">
        <f t="array" ref="C2">_xlfn._xlws.FILTER(Stores!C:C,Stores!C:C &lt;&gt; "")</f>
        <v>Total Hours</v>
      </c>
      <c r="E2" s="9" t="str" cm="1">
        <f t="array" ref="E2">_xlfn._xlws.FILTER(Employees!A:A, Employees!A:A&lt;&gt;"")</f>
        <v>Employee</v>
      </c>
      <c r="F2" s="9" t="str" cm="1">
        <f t="array" ref="F2">_xlfn._xlws.FILTER(Employees!C:C, Employees!C:C&lt;&gt;"")</f>
        <v>Permitted Hours</v>
      </c>
      <c r="G2" s="9" t="str" cm="1">
        <f t="array" ref="G2">_xlfn._xlws.FILTER(Employees!E:E, Employees!E:E&lt;&gt;"")</f>
        <v>Current Hours</v>
      </c>
    </row>
  </sheetData>
  <sheetProtection sheet="1" objects="1" scenarios="1" selectLockedCells="1" selectUnlockedCells="1"/>
  <mergeCells count="1">
    <mergeCell ref="A1:G1"/>
  </mergeCells>
  <conditionalFormatting sqref="A2:C1048576 E2:G1048576">
    <cfRule type="notContainsBlanks" dxfId="0" priority="1">
      <formula>LEN(TRIM(A2))&gt;0</formula>
    </cfRule>
  </conditionalFormatting>
  <printOptions horizontalCentered="1"/>
  <pageMargins left="0.7" right="0.7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A2F79-0199-495C-B3B4-EE573A337E8C}">
  <sheetPr codeName="Sheet6"/>
  <dimension ref="A1:D11"/>
  <sheetViews>
    <sheetView workbookViewId="0">
      <selection activeCell="A11" sqref="A11:B11"/>
    </sheetView>
  </sheetViews>
  <sheetFormatPr defaultRowHeight="15" x14ac:dyDescent="0.25"/>
  <cols>
    <col min="1" max="1" width="11.7109375" bestFit="1" customWidth="1"/>
    <col min="2" max="2" width="16" bestFit="1" customWidth="1"/>
    <col min="5" max="5" width="63.85546875" bestFit="1" customWidth="1"/>
  </cols>
  <sheetData>
    <row r="1" spans="1:4" x14ac:dyDescent="0.25">
      <c r="A1" s="10" t="s">
        <v>115</v>
      </c>
      <c r="B1" s="1" t="s">
        <v>28</v>
      </c>
      <c r="D1" t="s">
        <v>125</v>
      </c>
    </row>
    <row r="2" spans="1:4" x14ac:dyDescent="0.25">
      <c r="A2" s="10" t="s">
        <v>29</v>
      </c>
      <c r="B2" s="1">
        <v>8</v>
      </c>
    </row>
    <row r="3" spans="1:4" x14ac:dyDescent="0.25">
      <c r="A3" s="10" t="s">
        <v>116</v>
      </c>
      <c r="B3" s="1" t="s">
        <v>120</v>
      </c>
    </row>
    <row r="4" spans="1:4" x14ac:dyDescent="0.25">
      <c r="A4" s="10" t="s">
        <v>117</v>
      </c>
      <c r="B4" s="1" t="s">
        <v>122</v>
      </c>
    </row>
    <row r="5" spans="1:4" x14ac:dyDescent="0.25">
      <c r="A5" s="10" t="s">
        <v>119</v>
      </c>
      <c r="B5" s="1" t="s">
        <v>130</v>
      </c>
    </row>
    <row r="6" spans="1:4" x14ac:dyDescent="0.25">
      <c r="A6" s="10" t="s">
        <v>14</v>
      </c>
      <c r="B6" s="1">
        <v>40</v>
      </c>
    </row>
    <row r="7" spans="1:4" x14ac:dyDescent="0.25">
      <c r="A7" s="10" t="s">
        <v>123</v>
      </c>
      <c r="B7" s="1">
        <v>1</v>
      </c>
    </row>
    <row r="8" spans="1:4" x14ac:dyDescent="0.25">
      <c r="A8" s="10" t="s">
        <v>124</v>
      </c>
      <c r="B8" s="1">
        <v>1</v>
      </c>
    </row>
    <row r="9" spans="1:4" x14ac:dyDescent="0.25">
      <c r="A9" s="10" t="s">
        <v>126</v>
      </c>
      <c r="B9" s="1" t="s">
        <v>120</v>
      </c>
    </row>
    <row r="10" spans="1:4" x14ac:dyDescent="0.25">
      <c r="A10" s="10" t="s">
        <v>9</v>
      </c>
      <c r="B10" s="12">
        <v>46104</v>
      </c>
    </row>
    <row r="11" spans="1:4" x14ac:dyDescent="0.25">
      <c r="A11" s="10" t="s">
        <v>127</v>
      </c>
      <c r="B11" s="10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Schedule</vt:lpstr>
      <vt:lpstr>Stores</vt:lpstr>
      <vt:lpstr>Employees</vt:lpstr>
      <vt:lpstr>WeekdayDefaults</vt:lpstr>
      <vt:lpstr>EmployeeDefaults</vt:lpstr>
      <vt:lpstr>Hours Export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Properties</dc:creator>
  <cp:lastModifiedBy>Ash Properties</cp:lastModifiedBy>
  <cp:lastPrinted>2026-03-21T16:39:02Z</cp:lastPrinted>
  <dcterms:created xsi:type="dcterms:W3CDTF">2025-11-19T15:31:02Z</dcterms:created>
  <dcterms:modified xsi:type="dcterms:W3CDTF">2026-03-24T16:14:15Z</dcterms:modified>
</cp:coreProperties>
</file>